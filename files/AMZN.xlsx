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ej\OneDrive\Desktop\Projections\"/>
    </mc:Choice>
  </mc:AlternateContent>
  <xr:revisionPtr revIDLastSave="0" documentId="13_ncr:1_{4A275F99-8336-4D6F-90C6-4297C9B408BD}" xr6:coauthVersionLast="47" xr6:coauthVersionMax="47" xr10:uidLastSave="{00000000-0000-0000-0000-000000000000}"/>
  <bookViews>
    <workbookView xWindow="-120" yWindow="-120" windowWidth="29040" windowHeight="15840" activeTab="2" xr2:uid="{1BD9263B-1D36-4491-9D9E-27F88A9887B7}"/>
  </bookViews>
  <sheets>
    <sheet name="Bear Case" sheetId="1" r:id="rId1"/>
    <sheet name="Base Case" sheetId="4" r:id="rId2"/>
    <sheet name="Bull Case" sheetId="5" r:id="rId3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5" l="1"/>
  <c r="B18" i="5"/>
  <c r="D2" i="5"/>
  <c r="E2" i="5"/>
  <c r="F2" i="5"/>
  <c r="G2" i="5"/>
  <c r="H2" i="5"/>
  <c r="E13" i="5"/>
  <c r="B13" i="5"/>
  <c r="J14" i="5"/>
  <c r="J15" i="5"/>
  <c r="I14" i="5"/>
  <c r="I15" i="5"/>
  <c r="H14" i="5"/>
  <c r="H15" i="5"/>
  <c r="J13" i="5"/>
  <c r="I13" i="5"/>
  <c r="H13" i="5"/>
  <c r="E7" i="5"/>
  <c r="B7" i="5"/>
  <c r="J8" i="5"/>
  <c r="J9" i="5"/>
  <c r="I8" i="5"/>
  <c r="I9" i="5"/>
  <c r="H8" i="5"/>
  <c r="H9" i="5"/>
  <c r="J7" i="5"/>
  <c r="I7" i="5"/>
  <c r="D2" i="4"/>
  <c r="E2" i="4"/>
  <c r="F2" i="4"/>
  <c r="G2" i="4"/>
  <c r="H2" i="4"/>
  <c r="E13" i="4"/>
  <c r="J13" i="4"/>
  <c r="B18" i="4"/>
  <c r="B13" i="4"/>
  <c r="J14" i="4"/>
  <c r="J15" i="4"/>
  <c r="I14" i="4"/>
  <c r="I15" i="4"/>
  <c r="H14" i="4"/>
  <c r="H15" i="4"/>
  <c r="I13" i="4"/>
  <c r="H13" i="4"/>
  <c r="E7" i="4"/>
  <c r="B7" i="4"/>
  <c r="J8" i="4"/>
  <c r="J9" i="4"/>
  <c r="I8" i="4"/>
  <c r="I9" i="4"/>
  <c r="H8" i="4"/>
  <c r="H9" i="4"/>
  <c r="J7" i="4"/>
  <c r="I7" i="4"/>
  <c r="H7" i="4"/>
  <c r="D2" i="1"/>
  <c r="E2" i="1"/>
  <c r="F2" i="1"/>
  <c r="G2" i="1"/>
  <c r="H2" i="1"/>
  <c r="E13" i="1"/>
  <c r="E7" i="1"/>
  <c r="B18" i="1"/>
  <c r="B7" i="1"/>
  <c r="H8" i="1"/>
  <c r="H9" i="1"/>
  <c r="H7" i="1"/>
  <c r="I8" i="1"/>
  <c r="I9" i="1"/>
  <c r="J8" i="1"/>
  <c r="J9" i="1"/>
  <c r="B13" i="1"/>
  <c r="J14" i="1"/>
  <c r="J15" i="1"/>
  <c r="I14" i="1"/>
  <c r="I15" i="1"/>
  <c r="H14" i="1"/>
  <c r="H15" i="1"/>
  <c r="I13" i="1"/>
  <c r="J13" i="1"/>
  <c r="H13" i="1"/>
  <c r="I7" i="1"/>
  <c r="J7" i="1"/>
</calcChain>
</file>

<file path=xl/sharedStrings.xml><?xml version="1.0" encoding="utf-8"?>
<sst xmlns="http://schemas.openxmlformats.org/spreadsheetml/2006/main" count="82" uniqueCount="19">
  <si>
    <t>Year</t>
  </si>
  <si>
    <t>Revenue</t>
  </si>
  <si>
    <t>Growth Rate</t>
  </si>
  <si>
    <t>NIM</t>
  </si>
  <si>
    <t>NI</t>
  </si>
  <si>
    <t>PE</t>
  </si>
  <si>
    <t>Stock Price 1</t>
  </si>
  <si>
    <t>CAGR</t>
  </si>
  <si>
    <t>Stock Price 2</t>
  </si>
  <si>
    <t>x</t>
  </si>
  <si>
    <t>Get from seeking aplha</t>
  </si>
  <si>
    <t>Say</t>
  </si>
  <si>
    <t>NIM get from guidance or sector median</t>
  </si>
  <si>
    <t>Diluted Weighted Averege Shares Outstanding</t>
  </si>
  <si>
    <t>Market Cap</t>
  </si>
  <si>
    <t>EPS:</t>
  </si>
  <si>
    <t>Current Stock Price</t>
  </si>
  <si>
    <t>Dillution or Reduction</t>
  </si>
  <si>
    <t xml:space="preserve">long term 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</si>
</sst>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9" fontId="0" fillId="0" borderId="0" xfId="0" applyNumberFormat="1"/>
    <xf numFmtId="4" fontId="0" fillId="0" borderId="0" xfId="0" applyNumberFormat="1"/>
    <xf numFmtId="0" fontId="1" fillId="0" borderId="0" xfId="0" applyFont="1"/>
    <xf numFmtId="8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0" fillId="2" borderId="0" xfId="0" applyFill="1"/>
    <xf numFmtId="0" fontId="0" fillId="3" borderId="0" xfId="0" applyFill="1"/>
    <xf numFmtId="9" fontId="0" fillId="4" borderId="1" xfId="0" applyNumberFormat="1" applyFill="1" applyBorder="1"/>
    <xf numFmtId="10" fontId="0" fillId="3" borderId="0" xfId="0" applyNumberFormat="1" applyFill="1" applyAlignment="1">
      <alignment horizontal="left"/>
    </xf>
    <xf numFmtId="164" fontId="0" fillId="3" borderId="0" xfId="0" applyNumberFormat="1" applyFill="1"/>
    <xf numFmtId="4" fontId="0" fillId="3" borderId="0" xfId="0" applyNumberFormat="1" applyFill="1"/>
    <xf numFmtId="8" fontId="2" fillId="0" borderId="0" xfId="0" applyNumberFormat="1" applyFont="1"/>
    <xf numFmtId="10" fontId="0" fillId="3" borderId="0" xfId="0" applyNumberFormat="1" applyFill="1"/>
    <xf numFmtId="0" fontId="1" fillId="0" borderId="1" xfId="0" applyFont="1" applyBorder="1"/>
    <xf numFmtId="0" fontId="1" fillId="0" borderId="1" xfId="0" applyFont="1" applyBorder="1" applyAlignment="1">
      <alignment horizontal="right" vertical="center"/>
    </xf>
    <xf numFmtId="0" fontId="3" fillId="0" borderId="0" xfId="0" applyFont="1"/>
    <xf numFmtId="164" fontId="0" fillId="4" borderId="1" xfId="0" applyNumberFormat="1" applyFill="1" applyBorder="1"/>
    <xf numFmtId="164" fontId="0" fillId="0" borderId="0" xfId="0" applyNumberFormat="1" applyAlignment="1">
      <alignment horizontal="left"/>
    </xf>
    <xf numFmtId="0" fontId="1" fillId="0" borderId="2" xfId="0" applyFont="1" applyBorder="1"/>
    <xf numFmtId="9" fontId="0" fillId="4" borderId="2" xfId="0" applyNumberFormat="1" applyFill="1" applyBorder="1"/>
    <xf numFmtId="1" fontId="0" fillId="0" borderId="0" xfId="0" applyNumberFormat="1"/>
    <xf numFmtId="0" fontId="4" fillId="0" borderId="0" xfId="0" applyFont="1" applyAlignment="1">
      <alignment horizontal="left"/>
    </xf>
    <xf numFmtId="164" fontId="0" fillId="0" borderId="1" xfId="0" applyNumberFormat="1" applyBorder="1"/>
    <xf numFmtId="4" fontId="0" fillId="0" borderId="1" xfId="0" applyNumberFormat="1" applyBorder="1"/>
    <xf numFmtId="9" fontId="0" fillId="0" borderId="1" xfId="0" applyNumberFormat="1" applyBorder="1"/>
    <xf numFmtId="0" fontId="5" fillId="2" borderId="0" xfId="0" applyFont="1" applyFill="1"/>
    <xf numFmtId="0" fontId="0" fillId="0" borderId="0" xfId="0"/>
    <xf numFmtId="0" fontId="0" fillId="0" borderId="0" xfId="0" applyAlignment="1">
      <alignment horizontal="left"/>
    </xf>
  </cellXfs>
  <cellStyles count="1">
    <cellStyle name="Normální" xfId="0" builtinId="0"/>
  </cellStyles>
  <dxfs count="33">
    <dxf>
      <numFmt numFmtId="4" formatCode="#,##0.0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2BED58-25F0-4BF6-9B9D-83B0AD452ACC}" name="Tabulka3" displayName="Tabulka3" ref="G6:J8" headerRowCount="0" totalsRowShown="0" headerRowDxfId="32">
  <tableColumns count="4">
    <tableColumn id="1" xr3:uid="{A31E8CA9-CB7C-4A6A-82C9-9E968D578DF1}" name="Sloupec1" headerRowDxfId="31"/>
    <tableColumn id="2" xr3:uid="{3F2643EC-4E4C-4DCC-B38D-CD66FCFBBD44}" name="Sloupec2" headerRowDxfId="30"/>
    <tableColumn id="3" xr3:uid="{DFEEC193-C2B9-448A-AB66-4FDEFB52FE54}" name="Sloupec3" headerRowDxfId="29"/>
    <tableColumn id="4" xr3:uid="{87F79B5F-48E2-4924-B8D4-1EE106D2B0C6}" name="Sloupec4" headerRowDxfId="28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DABF36-54AA-4223-B19F-B978FCA77023}" name="Tabulka4" displayName="Tabulka4" ref="G12:J14" headerRowCount="0" totalsRowShown="0" headerRowDxfId="27">
  <tableColumns count="4">
    <tableColumn id="1" xr3:uid="{2A8CF8A3-905B-4156-98EF-4FDE53710232}" name="Sloupec1" headerRowDxfId="26" dataDxfId="25"/>
    <tableColumn id="2" xr3:uid="{9DE20155-6F85-41E1-8D96-37F92FE07CF8}" name="Sloupec2" headerRowDxfId="24"/>
    <tableColumn id="3" xr3:uid="{A440A487-C579-42EB-865E-F040B5EF3CBC}" name="Sloupec3" headerRowDxfId="23"/>
    <tableColumn id="4" xr3:uid="{981E62A6-E332-4281-BA7D-ABF337FD76A5}" name="Sloupec4" headerRowDxfId="22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AFE0EBD-8D26-4EDC-BB08-686B756DCF70}" name="Tabulka38" displayName="Tabulka38" ref="G6:J8" headerRowCount="0" totalsRowShown="0" headerRowDxfId="21">
  <tableColumns count="4">
    <tableColumn id="1" xr3:uid="{88411C5B-A1D7-422F-B8D6-0FA284D8BA90}" name="Sloupec1" headerRowDxfId="20"/>
    <tableColumn id="2" xr3:uid="{CC43DC92-2D17-4089-9C8D-3C0337750096}" name="Sloupec2" headerRowDxfId="19"/>
    <tableColumn id="3" xr3:uid="{8D0BD265-D317-4FC2-9FBB-96685FD9FB4E}" name="Sloupec3" headerRowDxfId="18"/>
    <tableColumn id="4" xr3:uid="{450C2A22-C933-44D3-8C36-3D8B0D36FFC8}" name="Sloupec4" headerRowDxfId="17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E409756-77F0-459E-93F6-5DC19B43462C}" name="Tabulka49" displayName="Tabulka49" ref="G12:J14" headerRowCount="0" totalsRowShown="0" headerRowDxfId="16">
  <tableColumns count="4">
    <tableColumn id="1" xr3:uid="{D8DE0723-AEC5-4557-86AC-F69E97EA9F42}" name="Sloupec1" headerRowDxfId="15" dataDxfId="14"/>
    <tableColumn id="2" xr3:uid="{D9260AB3-876D-4B28-B983-0F5B939F506B}" name="Sloupec2" headerRowDxfId="13"/>
    <tableColumn id="3" xr3:uid="{33BE6348-E773-400B-96D2-DBF865EEADD8}" name="Sloupec3" headerRowDxfId="12"/>
    <tableColumn id="4" xr3:uid="{B92C555A-8891-40FA-AA47-5B2644CC0D0F}" name="Sloupec4" headerRowDxfId="11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EACACCF-2485-4C43-9888-2EB16B069CE5}" name="Tabulka3810" displayName="Tabulka3810" ref="G6:J8" headerRowCount="0" totalsRowShown="0" headerRowDxfId="10">
  <tableColumns count="4">
    <tableColumn id="1" xr3:uid="{86D3E96F-B22E-4DEE-92BC-EB53345E765B}" name="Sloupec1" headerRowDxfId="9"/>
    <tableColumn id="2" xr3:uid="{711867FA-C734-4125-A45A-8CBFE1474CBF}" name="Sloupec2" headerRowDxfId="8"/>
    <tableColumn id="3" xr3:uid="{A41081B3-0406-4386-892A-5D2C3A5B07F0}" name="Sloupec3" headerRowDxfId="7"/>
    <tableColumn id="4" xr3:uid="{2B75C80F-3848-4EB0-93D9-45270A8CE4FE}" name="Sloupec4" headerRowDxfId="6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F7F2C53-B490-4BC3-A7EA-7F0FB143438E}" name="Tabulka4911" displayName="Tabulka4911" ref="G12:J14" headerRowCount="0" totalsRowShown="0" headerRowDxfId="5">
  <tableColumns count="4">
    <tableColumn id="1" xr3:uid="{2D7D694B-6915-4F47-BE6B-EF7CBAAD1CB6}" name="Sloupec1" headerRowDxfId="4" dataDxfId="3"/>
    <tableColumn id="2" xr3:uid="{426A34AE-DBBB-477A-BD81-945A9E900015}" name="Sloupec2" headerRowDxfId="2"/>
    <tableColumn id="3" xr3:uid="{609F68F3-60D3-46B3-BF2B-ABF987D49760}" name="Sloupec3" headerRowDxfId="1"/>
    <tableColumn id="4" xr3:uid="{ED7A4CDE-FA6C-4470-BF46-65417398D120}" name="Sloupec4" headerRow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768E2-AE09-4D5F-B18A-8F0BCB88DA18}">
  <dimension ref="A1:J22"/>
  <sheetViews>
    <sheetView zoomScale="140" zoomScaleNormal="140" workbookViewId="0">
      <selection activeCell="C20" sqref="C20"/>
    </sheetView>
  </sheetViews>
  <sheetFormatPr defaultRowHeight="15" x14ac:dyDescent="0.25"/>
  <cols>
    <col min="1" max="1" width="26.140625" customWidth="1"/>
    <col min="2" max="2" width="9.7109375" bestFit="1" customWidth="1"/>
    <col min="3" max="5" width="12.140625" bestFit="1" customWidth="1"/>
    <col min="6" max="7" width="13.7109375" bestFit="1" customWidth="1"/>
    <col min="8" max="10" width="14.28515625" bestFit="1" customWidth="1"/>
  </cols>
  <sheetData>
    <row r="1" spans="1:10" x14ac:dyDescent="0.25">
      <c r="A1" s="15" t="s">
        <v>0</v>
      </c>
      <c r="B1" s="15">
        <v>2024</v>
      </c>
      <c r="C1" s="15">
        <v>2025</v>
      </c>
      <c r="D1" s="15">
        <v>2026</v>
      </c>
      <c r="E1" s="15">
        <v>2027</v>
      </c>
      <c r="F1" s="16">
        <v>2028</v>
      </c>
      <c r="G1" s="15">
        <v>2029</v>
      </c>
      <c r="H1" s="20">
        <v>2030</v>
      </c>
    </row>
    <row r="2" spans="1:10" x14ac:dyDescent="0.25">
      <c r="A2" s="15" t="s">
        <v>1</v>
      </c>
      <c r="B2" s="25" t="s">
        <v>9</v>
      </c>
      <c r="C2" s="18">
        <v>716578</v>
      </c>
      <c r="D2" s="24">
        <f>C2*(D3+1)</f>
        <v>788235.8</v>
      </c>
      <c r="E2" s="24">
        <f t="shared" ref="E2:H2" si="0">D2*(E3+1)</f>
        <v>867059.38000000012</v>
      </c>
      <c r="F2" s="24">
        <f t="shared" si="0"/>
        <v>953765.3180000002</v>
      </c>
      <c r="G2" s="24">
        <f t="shared" si="0"/>
        <v>1049141.8498000002</v>
      </c>
      <c r="H2" s="24">
        <f t="shared" si="0"/>
        <v>1154056.0347800003</v>
      </c>
    </row>
    <row r="3" spans="1:10" x14ac:dyDescent="0.25">
      <c r="A3" s="15" t="s">
        <v>2</v>
      </c>
      <c r="B3" s="26" t="s">
        <v>9</v>
      </c>
      <c r="C3" s="9">
        <v>0.1</v>
      </c>
      <c r="D3" s="9">
        <v>0.1</v>
      </c>
      <c r="E3" s="9">
        <v>0.1</v>
      </c>
      <c r="F3" s="9">
        <v>0.1</v>
      </c>
      <c r="G3" s="9">
        <v>0.1</v>
      </c>
      <c r="H3" s="21">
        <v>0.1</v>
      </c>
    </row>
    <row r="4" spans="1:10" x14ac:dyDescent="0.25">
      <c r="A4" s="3" t="s">
        <v>16</v>
      </c>
      <c r="B4" s="11">
        <v>224</v>
      </c>
      <c r="C4" s="1"/>
      <c r="D4" s="1"/>
      <c r="E4" s="1"/>
      <c r="F4" s="1"/>
      <c r="G4" s="1"/>
    </row>
    <row r="6" spans="1:10" x14ac:dyDescent="0.25">
      <c r="D6" s="3" t="s">
        <v>3</v>
      </c>
      <c r="E6" s="10">
        <v>0.12</v>
      </c>
      <c r="G6" s="3" t="s">
        <v>5</v>
      </c>
      <c r="H6" s="12">
        <v>30</v>
      </c>
      <c r="I6" s="12">
        <v>31</v>
      </c>
      <c r="J6" s="12">
        <v>32</v>
      </c>
    </row>
    <row r="7" spans="1:10" x14ac:dyDescent="0.25">
      <c r="A7" s="3" t="s">
        <v>15</v>
      </c>
      <c r="B7" s="6">
        <f>E7/B18</f>
        <v>12.205452365405463</v>
      </c>
      <c r="D7" s="3" t="s">
        <v>4</v>
      </c>
      <c r="E7" s="19">
        <f>H2*E6</f>
        <v>138486.72417360003</v>
      </c>
      <c r="G7" s="17" t="s">
        <v>14</v>
      </c>
      <c r="H7" s="13">
        <f>H6*$E$7</f>
        <v>4154601.7252080007</v>
      </c>
      <c r="I7" s="13">
        <f t="shared" ref="I7:J7" si="1">I6*$E$7</f>
        <v>4293088.4493816011</v>
      </c>
      <c r="J7" s="13">
        <f t="shared" si="1"/>
        <v>4431575.1735552009</v>
      </c>
    </row>
    <row r="8" spans="1:10" x14ac:dyDescent="0.25">
      <c r="G8" s="3" t="s">
        <v>6</v>
      </c>
      <c r="H8" s="4">
        <f>H6*$B$7</f>
        <v>366.16357096216393</v>
      </c>
      <c r="I8" s="4">
        <f>I6*$B$7</f>
        <v>378.36902332756938</v>
      </c>
      <c r="J8" s="4">
        <f>J6*$B$7</f>
        <v>390.57447569297483</v>
      </c>
    </row>
    <row r="9" spans="1:10" x14ac:dyDescent="0.25">
      <c r="G9" s="3" t="s">
        <v>7</v>
      </c>
      <c r="H9" s="5">
        <f>(H8/$B$4)^(1/5)-1</f>
        <v>0.10327918158431282</v>
      </c>
      <c r="I9" s="5">
        <f t="shared" ref="I9:J9" si="2">(I8/$B$4)^(1/5)-1</f>
        <v>0.11053822361648957</v>
      </c>
      <c r="J9" s="5">
        <f t="shared" si="2"/>
        <v>0.11761228768640875</v>
      </c>
    </row>
    <row r="12" spans="1:10" x14ac:dyDescent="0.25">
      <c r="D12" s="3" t="s">
        <v>3</v>
      </c>
      <c r="E12" s="10">
        <v>0.13</v>
      </c>
      <c r="G12" s="3" t="s">
        <v>5</v>
      </c>
      <c r="H12" s="12">
        <v>33</v>
      </c>
      <c r="I12" s="12">
        <v>34</v>
      </c>
      <c r="J12" s="12">
        <v>35</v>
      </c>
    </row>
    <row r="13" spans="1:10" x14ac:dyDescent="0.25">
      <c r="A13" s="3" t="s">
        <v>15</v>
      </c>
      <c r="B13" s="6">
        <f>E13/B18</f>
        <v>13.222573395855921</v>
      </c>
      <c r="D13" s="3" t="s">
        <v>4</v>
      </c>
      <c r="E13" s="19">
        <f>H2*E12</f>
        <v>150027.28452140006</v>
      </c>
      <c r="G13" s="17" t="s">
        <v>14</v>
      </c>
      <c r="H13" s="13">
        <f>H12*$E$13</f>
        <v>4950900.3892062018</v>
      </c>
      <c r="I13" s="13">
        <f t="shared" ref="I13:J13" si="3">I12*$E$13</f>
        <v>5100927.6737276018</v>
      </c>
      <c r="J13" s="13">
        <f t="shared" si="3"/>
        <v>5250954.9582490018</v>
      </c>
    </row>
    <row r="14" spans="1:10" x14ac:dyDescent="0.25">
      <c r="G14" s="3" t="s">
        <v>8</v>
      </c>
      <c r="H14" s="6">
        <f>H12*$B$13</f>
        <v>436.34492206324541</v>
      </c>
      <c r="I14" s="6">
        <f t="shared" ref="I14:J14" si="4">I12*$B$13</f>
        <v>449.56749545910134</v>
      </c>
      <c r="J14" s="6">
        <f t="shared" si="4"/>
        <v>462.79006885495721</v>
      </c>
    </row>
    <row r="15" spans="1:10" x14ac:dyDescent="0.25">
      <c r="G15" s="3" t="s">
        <v>7</v>
      </c>
      <c r="H15" s="5">
        <f>(H14/$B$4)^(1/5)-1</f>
        <v>0.14265830787286915</v>
      </c>
      <c r="I15" s="5">
        <f t="shared" ref="I15" si="5">(I14/$B$4)^(1/5)-1</f>
        <v>0.14950106246694683</v>
      </c>
      <c r="J15" s="5">
        <f>(J14/$B$4)^(1/5)-1</f>
        <v>0.15618465873285103</v>
      </c>
    </row>
    <row r="16" spans="1:10" x14ac:dyDescent="0.25">
      <c r="A16" s="23" t="s">
        <v>13</v>
      </c>
      <c r="B16" s="27">
        <v>10806</v>
      </c>
      <c r="G16" s="2"/>
      <c r="H16" s="2"/>
      <c r="I16" s="2"/>
      <c r="J16" s="2"/>
    </row>
    <row r="17" spans="1:10" x14ac:dyDescent="0.25">
      <c r="A17" s="3" t="s">
        <v>17</v>
      </c>
      <c r="B17" s="14">
        <v>0.05</v>
      </c>
      <c r="H17" s="4"/>
      <c r="I17" s="4"/>
      <c r="J17" s="4"/>
    </row>
    <row r="18" spans="1:10" x14ac:dyDescent="0.25">
      <c r="A18" s="23" t="s">
        <v>13</v>
      </c>
      <c r="B18" s="22">
        <f>B16*(B17+1)</f>
        <v>11346.300000000001</v>
      </c>
    </row>
    <row r="21" spans="1:10" x14ac:dyDescent="0.25">
      <c r="A21" s="7" t="s">
        <v>10</v>
      </c>
      <c r="B21" s="29" t="s">
        <v>13</v>
      </c>
      <c r="C21" s="29"/>
      <c r="D21" s="29"/>
      <c r="E21" s="29"/>
      <c r="F21" s="29"/>
    </row>
    <row r="22" spans="1:10" x14ac:dyDescent="0.25">
      <c r="A22" s="8" t="s">
        <v>11</v>
      </c>
      <c r="B22" s="28" t="s">
        <v>12</v>
      </c>
      <c r="C22" s="28"/>
      <c r="D22" s="28"/>
      <c r="E22" s="28"/>
      <c r="F22" s="28"/>
    </row>
  </sheetData>
  <mergeCells count="2">
    <mergeCell ref="B22:F22"/>
    <mergeCell ref="B21:F21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F1D7E-09B4-48B2-BCCA-E09E2DD0D3E7}">
  <dimension ref="A1:J22"/>
  <sheetViews>
    <sheetView zoomScale="140" zoomScaleNormal="140" workbookViewId="0">
      <selection activeCell="B16" sqref="B16"/>
    </sheetView>
  </sheetViews>
  <sheetFormatPr defaultRowHeight="15" x14ac:dyDescent="0.25"/>
  <cols>
    <col min="1" max="1" width="27.42578125" customWidth="1"/>
    <col min="2" max="2" width="8.140625" bestFit="1" customWidth="1"/>
    <col min="3" max="5" width="12.140625" bestFit="1" customWidth="1"/>
    <col min="6" max="7" width="13.7109375" bestFit="1" customWidth="1"/>
    <col min="8" max="10" width="14.28515625" bestFit="1" customWidth="1"/>
  </cols>
  <sheetData>
    <row r="1" spans="1:10" x14ac:dyDescent="0.25">
      <c r="A1" s="15" t="s">
        <v>0</v>
      </c>
      <c r="B1" s="15">
        <v>2024</v>
      </c>
      <c r="C1" s="15">
        <v>2025</v>
      </c>
      <c r="D1" s="15">
        <v>2026</v>
      </c>
      <c r="E1" s="15">
        <v>2027</v>
      </c>
      <c r="F1" s="16">
        <v>2028</v>
      </c>
      <c r="G1" s="15">
        <v>2029</v>
      </c>
      <c r="H1" s="20">
        <v>2030</v>
      </c>
    </row>
    <row r="2" spans="1:10" x14ac:dyDescent="0.25">
      <c r="A2" s="15" t="s">
        <v>1</v>
      </c>
      <c r="B2" s="25" t="s">
        <v>9</v>
      </c>
      <c r="C2" s="18">
        <v>716578</v>
      </c>
      <c r="D2" s="24">
        <f>C2*(D3+1)</f>
        <v>802567.3600000001</v>
      </c>
      <c r="E2" s="24">
        <f t="shared" ref="E2:H2" si="0">D2*(E3+1)</f>
        <v>898875.44320000021</v>
      </c>
      <c r="F2" s="24">
        <f t="shared" si="0"/>
        <v>1006740.4963840003</v>
      </c>
      <c r="G2" s="24">
        <f t="shared" si="0"/>
        <v>1127549.3559500803</v>
      </c>
      <c r="H2" s="24">
        <f t="shared" si="0"/>
        <v>1262855.27866409</v>
      </c>
    </row>
    <row r="3" spans="1:10" x14ac:dyDescent="0.25">
      <c r="A3" s="15" t="s">
        <v>2</v>
      </c>
      <c r="B3" s="26" t="s">
        <v>9</v>
      </c>
      <c r="C3" s="9">
        <v>0.12</v>
      </c>
      <c r="D3" s="9">
        <v>0.12</v>
      </c>
      <c r="E3" s="9">
        <v>0.12</v>
      </c>
      <c r="F3" s="9">
        <v>0.12</v>
      </c>
      <c r="G3" s="9">
        <v>0.12</v>
      </c>
      <c r="H3" s="21">
        <v>0.12</v>
      </c>
    </row>
    <row r="4" spans="1:10" x14ac:dyDescent="0.25">
      <c r="A4" s="3" t="s">
        <v>16</v>
      </c>
      <c r="B4" s="11">
        <v>224</v>
      </c>
      <c r="C4" s="1"/>
      <c r="D4" s="1"/>
      <c r="E4" s="1"/>
      <c r="F4" s="1"/>
      <c r="G4" s="1"/>
    </row>
    <row r="6" spans="1:10" x14ac:dyDescent="0.25">
      <c r="D6" s="3" t="s">
        <v>3</v>
      </c>
      <c r="E6" s="10">
        <v>0.12</v>
      </c>
      <c r="G6" s="3" t="s">
        <v>5</v>
      </c>
      <c r="H6" s="12">
        <v>33</v>
      </c>
      <c r="I6" s="12">
        <v>34</v>
      </c>
      <c r="J6" s="12">
        <v>35</v>
      </c>
    </row>
    <row r="7" spans="1:10" x14ac:dyDescent="0.25">
      <c r="A7" s="3" t="s">
        <v>15</v>
      </c>
      <c r="B7" s="6">
        <f>E7/B18</f>
        <v>14.023934243909936</v>
      </c>
      <c r="D7" s="3" t="s">
        <v>4</v>
      </c>
      <c r="E7" s="19">
        <f>H2*E6</f>
        <v>151542.63343969078</v>
      </c>
      <c r="G7" s="17" t="s">
        <v>14</v>
      </c>
      <c r="H7" s="13">
        <f>H6*$E$7</f>
        <v>5000906.9035097957</v>
      </c>
      <c r="I7" s="13">
        <f t="shared" ref="I7:J7" si="1">I6*$E$7</f>
        <v>5152449.5369494865</v>
      </c>
      <c r="J7" s="13">
        <f t="shared" si="1"/>
        <v>5303992.1703891773</v>
      </c>
    </row>
    <row r="8" spans="1:10" x14ac:dyDescent="0.25">
      <c r="G8" s="3" t="s">
        <v>6</v>
      </c>
      <c r="H8" s="4">
        <f>H6*$B$7</f>
        <v>462.7898300490279</v>
      </c>
      <c r="I8" s="4">
        <f>I6*$B$7</f>
        <v>476.81376429293783</v>
      </c>
      <c r="J8" s="4">
        <f>J6*$B$7</f>
        <v>490.83769853684777</v>
      </c>
    </row>
    <row r="9" spans="1:10" x14ac:dyDescent="0.25">
      <c r="G9" s="3" t="s">
        <v>7</v>
      </c>
      <c r="H9" s="5">
        <f>(H8/$B$4)^(1/5)-1</f>
        <v>0.15618453941144494</v>
      </c>
      <c r="I9" s="5">
        <f t="shared" ref="I9:J9" si="2">(I8/$B$4)^(1/5)-1</f>
        <v>0.16310829519578518</v>
      </c>
      <c r="J9" s="5">
        <f t="shared" si="2"/>
        <v>0.1698710086133175</v>
      </c>
    </row>
    <row r="12" spans="1:10" x14ac:dyDescent="0.25">
      <c r="D12" s="3" t="s">
        <v>3</v>
      </c>
      <c r="E12" s="10">
        <v>0.13</v>
      </c>
      <c r="G12" s="3" t="s">
        <v>5</v>
      </c>
      <c r="H12" s="12">
        <v>36</v>
      </c>
      <c r="I12" s="12">
        <v>37</v>
      </c>
      <c r="J12" s="12">
        <v>38</v>
      </c>
    </row>
    <row r="13" spans="1:10" x14ac:dyDescent="0.25">
      <c r="A13" s="3" t="s">
        <v>15</v>
      </c>
      <c r="B13" s="6">
        <f>E13/B18</f>
        <v>15.192595430902434</v>
      </c>
      <c r="D13" s="3" t="s">
        <v>4</v>
      </c>
      <c r="E13" s="19">
        <f>H2*E12</f>
        <v>164171.18622633172</v>
      </c>
      <c r="G13" s="17" t="s">
        <v>14</v>
      </c>
      <c r="H13" s="13">
        <f>H12*$E$13</f>
        <v>5910162.7041479414</v>
      </c>
      <c r="I13" s="13">
        <f t="shared" ref="I13" si="3">I12*$E$13</f>
        <v>6074333.8903742731</v>
      </c>
      <c r="J13" s="13">
        <f>J12*$E$13</f>
        <v>6238505.0766006056</v>
      </c>
    </row>
    <row r="14" spans="1:10" x14ac:dyDescent="0.25">
      <c r="G14" s="3" t="s">
        <v>8</v>
      </c>
      <c r="H14" s="6">
        <f>H12*$B$13</f>
        <v>546.93343551248768</v>
      </c>
      <c r="I14" s="6">
        <f t="shared" ref="I14:J14" si="4">I12*$B$13</f>
        <v>562.12603094339011</v>
      </c>
      <c r="J14" s="6">
        <f t="shared" si="4"/>
        <v>577.31862637429253</v>
      </c>
    </row>
    <row r="15" spans="1:10" x14ac:dyDescent="0.25">
      <c r="G15" s="3" t="s">
        <v>7</v>
      </c>
      <c r="H15" s="5">
        <f>(H14/$B$4)^(1/5)-1</f>
        <v>0.19546617105068731</v>
      </c>
      <c r="I15" s="5">
        <f t="shared" ref="I15" si="5">(I14/$B$4)^(1/5)-1</f>
        <v>0.20203506205323629</v>
      </c>
      <c r="J15" s="5">
        <f>(J14/$B$4)^(1/5)-1</f>
        <v>0.2084634237348566</v>
      </c>
    </row>
    <row r="16" spans="1:10" x14ac:dyDescent="0.25">
      <c r="A16" s="23" t="s">
        <v>13</v>
      </c>
      <c r="B16" s="27">
        <v>10806</v>
      </c>
      <c r="G16" s="2"/>
      <c r="H16" s="2"/>
      <c r="I16" s="2"/>
      <c r="J16" s="2"/>
    </row>
    <row r="17" spans="1:10" x14ac:dyDescent="0.25">
      <c r="A17" s="3" t="s">
        <v>17</v>
      </c>
      <c r="B17" s="14">
        <v>0</v>
      </c>
      <c r="H17" s="4"/>
      <c r="I17" s="4"/>
      <c r="J17" s="4"/>
    </row>
    <row r="18" spans="1:10" x14ac:dyDescent="0.25">
      <c r="A18" s="23" t="s">
        <v>13</v>
      </c>
      <c r="B18" s="22">
        <f>B16*(B17+1)</f>
        <v>10806</v>
      </c>
    </row>
    <row r="21" spans="1:10" x14ac:dyDescent="0.25">
      <c r="A21" s="7" t="s">
        <v>10</v>
      </c>
      <c r="B21" s="29" t="s">
        <v>13</v>
      </c>
      <c r="C21" s="29"/>
      <c r="D21" s="29"/>
      <c r="E21" s="29"/>
      <c r="F21" s="29"/>
    </row>
    <row r="22" spans="1:10" x14ac:dyDescent="0.25">
      <c r="A22" s="8" t="s">
        <v>11</v>
      </c>
      <c r="B22" s="28" t="s">
        <v>12</v>
      </c>
      <c r="C22" s="28"/>
      <c r="D22" s="28"/>
      <c r="E22" s="28"/>
      <c r="F22" s="28"/>
    </row>
  </sheetData>
  <mergeCells count="2">
    <mergeCell ref="B21:F21"/>
    <mergeCell ref="B22:F22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568C9-EF42-47A3-B769-DDF77F2D2012}">
  <dimension ref="A1:J22"/>
  <sheetViews>
    <sheetView tabSelected="1" zoomScale="140" zoomScaleNormal="140" workbookViewId="0">
      <selection activeCell="F18" sqref="F18"/>
    </sheetView>
  </sheetViews>
  <sheetFormatPr defaultRowHeight="15" x14ac:dyDescent="0.25"/>
  <cols>
    <col min="1" max="1" width="27.42578125" customWidth="1"/>
    <col min="2" max="2" width="8.140625" bestFit="1" customWidth="1"/>
    <col min="3" max="4" width="12.140625" bestFit="1" customWidth="1"/>
    <col min="5" max="7" width="13.7109375" bestFit="1" customWidth="1"/>
    <col min="8" max="10" width="15.5703125" bestFit="1" customWidth="1"/>
  </cols>
  <sheetData>
    <row r="1" spans="1:10" x14ac:dyDescent="0.25">
      <c r="A1" s="15" t="s">
        <v>0</v>
      </c>
      <c r="B1" s="15">
        <v>2024</v>
      </c>
      <c r="C1" s="15">
        <v>2025</v>
      </c>
      <c r="D1" s="15">
        <v>2026</v>
      </c>
      <c r="E1" s="15">
        <v>2027</v>
      </c>
      <c r="F1" s="16">
        <v>2028</v>
      </c>
      <c r="G1" s="15">
        <v>2029</v>
      </c>
      <c r="H1" s="20">
        <v>2030</v>
      </c>
    </row>
    <row r="2" spans="1:10" x14ac:dyDescent="0.25">
      <c r="A2" s="15" t="s">
        <v>1</v>
      </c>
      <c r="B2" s="25" t="s">
        <v>9</v>
      </c>
      <c r="C2" s="18">
        <v>716578</v>
      </c>
      <c r="D2" s="24">
        <f>C2*(D3+1)</f>
        <v>816898.92</v>
      </c>
      <c r="E2" s="24">
        <f t="shared" ref="E2:H2" si="0">D2*(E3+1)</f>
        <v>931264.76880000019</v>
      </c>
      <c r="F2" s="24">
        <f t="shared" si="0"/>
        <v>1061641.8364320004</v>
      </c>
      <c r="G2" s="24">
        <f t="shared" si="0"/>
        <v>1210271.6935324806</v>
      </c>
      <c r="H2" s="24">
        <f t="shared" si="0"/>
        <v>1379709.730627028</v>
      </c>
    </row>
    <row r="3" spans="1:10" x14ac:dyDescent="0.25">
      <c r="A3" s="15" t="s">
        <v>2</v>
      </c>
      <c r="B3" s="26" t="s">
        <v>9</v>
      </c>
      <c r="C3" s="9">
        <v>0.14000000000000001</v>
      </c>
      <c r="D3" s="9">
        <v>0.14000000000000001</v>
      </c>
      <c r="E3" s="9">
        <v>0.14000000000000001</v>
      </c>
      <c r="F3" s="9">
        <v>0.14000000000000001</v>
      </c>
      <c r="G3" s="9">
        <v>0.14000000000000001</v>
      </c>
      <c r="H3" s="21">
        <v>0.14000000000000001</v>
      </c>
    </row>
    <row r="4" spans="1:10" x14ac:dyDescent="0.25">
      <c r="A4" s="3" t="s">
        <v>16</v>
      </c>
      <c r="B4" s="11">
        <v>224</v>
      </c>
      <c r="C4" s="1"/>
      <c r="D4" s="1"/>
      <c r="E4" s="1"/>
      <c r="F4" s="1"/>
      <c r="G4" s="1"/>
    </row>
    <row r="6" spans="1:10" x14ac:dyDescent="0.25">
      <c r="D6" s="3" t="s">
        <v>3</v>
      </c>
      <c r="E6" s="10">
        <v>0.12</v>
      </c>
      <c r="G6" s="3" t="s">
        <v>5</v>
      </c>
      <c r="H6" s="12">
        <v>35</v>
      </c>
      <c r="I6" s="12">
        <v>36</v>
      </c>
      <c r="J6" s="12">
        <v>37</v>
      </c>
    </row>
    <row r="7" spans="1:10" x14ac:dyDescent="0.25">
      <c r="A7" s="3" t="s">
        <v>15</v>
      </c>
      <c r="B7" s="6">
        <f>E7/B18</f>
        <v>16.127995916035282</v>
      </c>
      <c r="D7" s="3" t="s">
        <v>4</v>
      </c>
      <c r="E7" s="19">
        <f>H2*E6</f>
        <v>165565.16767524337</v>
      </c>
      <c r="G7" s="17" t="s">
        <v>14</v>
      </c>
      <c r="H7" s="13">
        <f>H6*$E$7</f>
        <v>5794780.868633518</v>
      </c>
      <c r="I7" s="13">
        <f t="shared" ref="I7:J7" si="1">I6*$E$7</f>
        <v>5960346.0363087617</v>
      </c>
      <c r="J7" s="13">
        <f t="shared" si="1"/>
        <v>6125911.2039840044</v>
      </c>
    </row>
    <row r="8" spans="1:10" x14ac:dyDescent="0.25">
      <c r="G8" s="3" t="s">
        <v>6</v>
      </c>
      <c r="H8" s="4">
        <f>H6*$B$7</f>
        <v>564.47985706123484</v>
      </c>
      <c r="I8" s="4">
        <f>I6*$B$7</f>
        <v>580.60785297727011</v>
      </c>
      <c r="J8" s="4">
        <f>J6*$B$7</f>
        <v>596.73584889330539</v>
      </c>
    </row>
    <row r="9" spans="1:10" x14ac:dyDescent="0.25">
      <c r="G9" s="3" t="s">
        <v>7</v>
      </c>
      <c r="H9" s="5">
        <f>(H8/$B$4)^(1/5)-1</f>
        <v>0.20304005174597139</v>
      </c>
      <c r="I9" s="5">
        <f t="shared" ref="I9:J9" si="2">(I8/$B$4)^(1/5)-1</f>
        <v>0.20983732092510077</v>
      </c>
      <c r="J9" s="5">
        <f t="shared" si="2"/>
        <v>0.21648517904473974</v>
      </c>
    </row>
    <row r="11" spans="1:10" x14ac:dyDescent="0.25">
      <c r="E11" t="s">
        <v>18</v>
      </c>
    </row>
    <row r="12" spans="1:10" x14ac:dyDescent="0.25">
      <c r="D12" s="3" t="s">
        <v>3</v>
      </c>
      <c r="E12" s="10">
        <v>0.2</v>
      </c>
      <c r="G12" s="3" t="s">
        <v>5</v>
      </c>
      <c r="H12" s="12">
        <v>38</v>
      </c>
      <c r="I12" s="12">
        <v>39</v>
      </c>
      <c r="J12" s="12">
        <v>40</v>
      </c>
    </row>
    <row r="13" spans="1:10" x14ac:dyDescent="0.25">
      <c r="A13" s="3" t="s">
        <v>15</v>
      </c>
      <c r="B13" s="6">
        <f>E13/B18</f>
        <v>26.879993193392135</v>
      </c>
      <c r="D13" s="3" t="s">
        <v>4</v>
      </c>
      <c r="E13" s="19">
        <f>H2*E12</f>
        <v>275941.94612540561</v>
      </c>
      <c r="G13" s="17" t="s">
        <v>14</v>
      </c>
      <c r="H13" s="13">
        <f>H12*$E$13</f>
        <v>10485793.952765413</v>
      </c>
      <c r="I13" s="13">
        <f t="shared" ref="I13" si="3">I12*$E$13</f>
        <v>10761735.898890819</v>
      </c>
      <c r="J13" s="13">
        <f>J12*$E$13</f>
        <v>11037677.845016224</v>
      </c>
    </row>
    <row r="14" spans="1:10" x14ac:dyDescent="0.25">
      <c r="G14" s="3" t="s">
        <v>8</v>
      </c>
      <c r="H14" s="6">
        <f>H12*$B$13</f>
        <v>1021.4397413489012</v>
      </c>
      <c r="I14" s="6">
        <f t="shared" ref="I14:J14" si="4">I12*$B$13</f>
        <v>1048.3197345422932</v>
      </c>
      <c r="J14" s="6">
        <f t="shared" si="4"/>
        <v>1075.1997277356854</v>
      </c>
    </row>
    <row r="15" spans="1:10" x14ac:dyDescent="0.25">
      <c r="G15" s="3" t="s">
        <v>7</v>
      </c>
      <c r="H15" s="5">
        <f>(H14/$B$4)^(1/5)-1</f>
        <v>0.35454346865839281</v>
      </c>
      <c r="I15" s="5">
        <f t="shared" ref="I15" si="5">(I14/$B$4)^(1/5)-1</f>
        <v>0.36159876435472627</v>
      </c>
      <c r="J15" s="5">
        <f>(J14/$B$4)^(1/5)-1</f>
        <v>0.36851078852983976</v>
      </c>
    </row>
    <row r="16" spans="1:10" x14ac:dyDescent="0.25">
      <c r="A16" s="23" t="s">
        <v>13</v>
      </c>
      <c r="B16" s="27">
        <v>10806</v>
      </c>
      <c r="G16" s="2"/>
      <c r="H16" s="2"/>
      <c r="I16" s="2"/>
      <c r="J16" s="2"/>
    </row>
    <row r="17" spans="1:10" x14ac:dyDescent="0.25">
      <c r="A17" s="3" t="s">
        <v>17</v>
      </c>
      <c r="B17" s="14">
        <v>-0.05</v>
      </c>
      <c r="H17" s="4"/>
      <c r="I17" s="4"/>
      <c r="J17" s="4"/>
    </row>
    <row r="18" spans="1:10" x14ac:dyDescent="0.25">
      <c r="A18" s="23" t="s">
        <v>13</v>
      </c>
      <c r="B18" s="22">
        <f>B16*(B17+1)</f>
        <v>10265.699999999999</v>
      </c>
    </row>
    <row r="21" spans="1:10" x14ac:dyDescent="0.25">
      <c r="A21" s="7" t="s">
        <v>10</v>
      </c>
      <c r="B21" s="29" t="s">
        <v>13</v>
      </c>
      <c r="C21" s="29"/>
      <c r="D21" s="29"/>
      <c r="E21" s="29"/>
      <c r="F21" s="29"/>
    </row>
    <row r="22" spans="1:10" x14ac:dyDescent="0.25">
      <c r="A22" s="8" t="s">
        <v>11</v>
      </c>
      <c r="B22" s="28" t="s">
        <v>12</v>
      </c>
      <c r="C22" s="28"/>
      <c r="D22" s="28"/>
      <c r="E22" s="28"/>
      <c r="F22" s="28"/>
    </row>
  </sheetData>
  <mergeCells count="2">
    <mergeCell ref="B21:F21"/>
    <mergeCell ref="B22:F22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Bear Case</vt:lpstr>
      <vt:lpstr>Base Case</vt:lpstr>
      <vt:lpstr>Bull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rickert</dc:creator>
  <cp:lastModifiedBy>Matěj Štěrba</cp:lastModifiedBy>
  <dcterms:created xsi:type="dcterms:W3CDTF">2023-11-08T00:36:08Z</dcterms:created>
  <dcterms:modified xsi:type="dcterms:W3CDTF">2025-11-03T01:08:03Z</dcterms:modified>
</cp:coreProperties>
</file>